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客戶管理\08-境曜有限公司\網站製作\網站素材\"/>
    </mc:Choice>
  </mc:AlternateContent>
  <xr:revisionPtr revIDLastSave="0" documentId="13_ncr:1_{0553516C-CA12-47E2-9597-EFE4987B61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38" i="1"/>
  <c r="G36" i="1"/>
  <c r="G34" i="1"/>
  <c r="G32" i="1"/>
  <c r="G30" i="1"/>
  <c r="G28" i="1"/>
  <c r="G26" i="1"/>
  <c r="I42" i="1" l="1"/>
  <c r="I44" i="1" s="1"/>
  <c r="I46" i="1" l="1"/>
  <c r="C42" i="1" s="1"/>
</calcChain>
</file>

<file path=xl/sharedStrings.xml><?xml version="1.0" encoding="utf-8"?>
<sst xmlns="http://schemas.openxmlformats.org/spreadsheetml/2006/main" count="38" uniqueCount="37">
  <si>
    <t xml:space="preserve">製表日期                         </t>
  </si>
  <si>
    <t xml:space="preserve">
境曜活動租借   報價單
</t>
  </si>
  <si>
    <t xml:space="preserve"> 公司名稱</t>
  </si>
  <si>
    <t>境曜有限公司</t>
  </si>
  <si>
    <t xml:space="preserve"> 客戶名稱</t>
  </si>
  <si>
    <t xml:space="preserve"> 公司電話</t>
  </si>
  <si>
    <t xml:space="preserve"> 發票抬頭</t>
  </si>
  <si>
    <t xml:space="preserve"> 聯絡人</t>
  </si>
  <si>
    <t xml:space="preserve"> 業務承辦人</t>
  </si>
  <si>
    <t>阿哲</t>
  </si>
  <si>
    <t xml:space="preserve"> 統一編號</t>
  </si>
  <si>
    <t xml:space="preserve"> 行動電話</t>
  </si>
  <si>
    <t xml:space="preserve"> E-mail</t>
  </si>
  <si>
    <t>jingyaoactivities@gmail.com</t>
  </si>
  <si>
    <t xml:space="preserve"> 活動日期 </t>
  </si>
  <si>
    <t xml:space="preserve"> E-mail:</t>
  </si>
  <si>
    <t xml:space="preserve"> 專案代號</t>
  </si>
  <si>
    <t>發票編號</t>
  </si>
  <si>
    <t xml:space="preserve"> 活動地址</t>
  </si>
  <si>
    <t>活動項目報價</t>
  </si>
  <si>
    <t>項次</t>
  </si>
  <si>
    <t>品名</t>
  </si>
  <si>
    <t>單價</t>
  </si>
  <si>
    <t>數量</t>
  </si>
  <si>
    <t>原價(未稅)</t>
  </si>
  <si>
    <t>備註</t>
  </si>
  <si>
    <t>注意事項</t>
  </si>
  <si>
    <t>未稅</t>
  </si>
  <si>
    <t>營業稅(5%)</t>
  </si>
  <si>
    <t>總價</t>
  </si>
  <si>
    <t>回簽前請詳閱說明</t>
  </si>
  <si>
    <t>廠商簽章</t>
  </si>
  <si>
    <t>客戶簽章</t>
  </si>
  <si>
    <t>戶名：境曜有限公司  /  國泰世華銀行013  / 古亭分行 /  帳號：030035016755</t>
  </si>
  <si>
    <t>連絡電話</t>
    <phoneticPr fontId="12" type="noConversion"/>
  </si>
  <si>
    <t>0912727596</t>
    <phoneticPr fontId="12" type="noConversion"/>
  </si>
  <si>
    <r>
      <t xml:space="preserve"> 1. </t>
    </r>
    <r>
      <rPr>
        <sz val="11"/>
        <color theme="1"/>
        <rFont val="微軟正黑體"/>
        <family val="2"/>
        <charset val="136"/>
      </rPr>
      <t>本報價依目前需求提供，內容如有變更需另行報價，報價有效期限為</t>
    </r>
    <r>
      <rPr>
        <sz val="11"/>
        <color theme="1"/>
        <rFont val="Arial"/>
        <family val="2"/>
      </rPr>
      <t>7</t>
    </r>
    <r>
      <rPr>
        <sz val="11"/>
        <color theme="1"/>
        <rFont val="微軟正黑體"/>
        <family val="2"/>
        <charset val="136"/>
      </rPr>
      <t xml:space="preserve">日。
</t>
    </r>
    <r>
      <rPr>
        <sz val="11"/>
        <color theme="1"/>
        <rFont val="Arial"/>
        <family val="2"/>
      </rPr>
      <t xml:space="preserve"> 2. </t>
    </r>
    <r>
      <rPr>
        <sz val="11"/>
        <color theme="1"/>
        <rFont val="微軟正黑體"/>
        <family val="2"/>
        <charset val="136"/>
      </rPr>
      <t>簽署或支付訂金後視為訂單成立，訂金</t>
    </r>
    <r>
      <rPr>
        <sz val="11"/>
        <color theme="1"/>
        <rFont val="Arial"/>
        <family val="2"/>
      </rPr>
      <t>50%</t>
    </r>
    <r>
      <rPr>
        <sz val="11"/>
        <color theme="1"/>
        <rFont val="微軟正黑體"/>
        <family val="2"/>
        <charset val="136"/>
      </rPr>
      <t xml:space="preserve">，尾款於活動前或當日結清。
</t>
    </r>
    <r>
      <rPr>
        <sz val="11"/>
        <color theme="1"/>
        <rFont val="Arial"/>
        <family val="2"/>
      </rPr>
      <t xml:space="preserve"> 3. </t>
    </r>
    <r>
      <rPr>
        <sz val="11"/>
        <color theme="1"/>
        <rFont val="微軟正黑體"/>
        <family val="2"/>
        <charset val="136"/>
      </rPr>
      <t>活動日前</t>
    </r>
    <r>
      <rPr>
        <sz val="11"/>
        <color theme="1"/>
        <rFont val="Arial"/>
        <family val="2"/>
      </rPr>
      <t>30</t>
    </r>
    <r>
      <rPr>
        <sz val="11"/>
        <color theme="1"/>
        <rFont val="微軟正黑體"/>
        <family val="2"/>
        <charset val="136"/>
      </rPr>
      <t>日取消全額退款，</t>
    </r>
    <r>
      <rPr>
        <sz val="11"/>
        <color theme="1"/>
        <rFont val="Arial"/>
        <family val="2"/>
      </rPr>
      <t>14–30</t>
    </r>
    <r>
      <rPr>
        <sz val="11"/>
        <color theme="1"/>
        <rFont val="微軟正黑體"/>
        <family val="2"/>
        <charset val="136"/>
      </rPr>
      <t>日退</t>
    </r>
    <r>
      <rPr>
        <sz val="11"/>
        <color theme="1"/>
        <rFont val="Arial"/>
        <family val="2"/>
      </rPr>
      <t>50%</t>
    </r>
    <r>
      <rPr>
        <sz val="11"/>
        <color theme="1"/>
        <rFont val="微軟正黑體"/>
        <family val="2"/>
        <charset val="136"/>
      </rPr>
      <t>，</t>
    </r>
    <r>
      <rPr>
        <sz val="11"/>
        <color theme="1"/>
        <rFont val="Arial"/>
        <family val="2"/>
      </rPr>
      <t>14</t>
    </r>
    <r>
      <rPr>
        <sz val="11"/>
        <color theme="1"/>
        <rFont val="微軟正黑體"/>
        <family val="2"/>
        <charset val="136"/>
      </rPr>
      <t xml:space="preserve">日內取消恕不退款。
</t>
    </r>
    <r>
      <rPr>
        <sz val="11"/>
        <color theme="1"/>
        <rFont val="Arial"/>
        <family val="2"/>
      </rPr>
      <t xml:space="preserve"> 4. </t>
    </r>
    <r>
      <rPr>
        <sz val="11"/>
        <color theme="1"/>
        <rFont val="微軟正黑體"/>
        <family val="2"/>
        <charset val="136"/>
      </rPr>
      <t>改期以一次為限，需於活動日前</t>
    </r>
    <r>
      <rPr>
        <sz val="11"/>
        <color theme="1"/>
        <rFont val="Arial"/>
        <family val="2"/>
      </rPr>
      <t>14</t>
    </r>
    <r>
      <rPr>
        <sz val="11"/>
        <color theme="1"/>
        <rFont val="微軟正黑體"/>
        <family val="2"/>
        <charset val="136"/>
      </rPr>
      <t xml:space="preserve">日提出。
</t>
    </r>
    <r>
      <rPr>
        <sz val="11"/>
        <color theme="1"/>
        <rFont val="Arial"/>
        <family val="2"/>
      </rPr>
      <t xml:space="preserve"> 5. </t>
    </r>
    <r>
      <rPr>
        <sz val="11"/>
        <color theme="1"/>
        <rFont val="微軟正黑體"/>
        <family val="2"/>
        <charset val="136"/>
      </rPr>
      <t>活動內容須於</t>
    </r>
    <r>
      <rPr>
        <sz val="11"/>
        <color theme="1"/>
        <rFont val="Arial"/>
        <family val="2"/>
      </rPr>
      <t>7</t>
    </r>
    <r>
      <rPr>
        <sz val="11"/>
        <color theme="1"/>
        <rFont val="微軟正黑體"/>
        <family val="2"/>
        <charset val="136"/>
      </rPr>
      <t xml:space="preserve">日前確認，現場執行以報價單內容為準，新增需求另計。
</t>
    </r>
    <r>
      <rPr>
        <sz val="11"/>
        <color theme="1"/>
        <rFont val="Arial"/>
        <family val="2"/>
      </rPr>
      <t xml:space="preserve"> 6. </t>
    </r>
    <r>
      <rPr>
        <sz val="11"/>
        <color theme="1"/>
        <rFont val="微軟正黑體"/>
        <family val="2"/>
        <charset val="136"/>
      </rPr>
      <t xml:space="preserve">若因客戶因素（延遲、流程變更等）導致超時，將酌收延時費用。
</t>
    </r>
    <r>
      <rPr>
        <sz val="11"/>
        <color theme="1"/>
        <rFont val="Arial"/>
        <family val="2"/>
      </rPr>
      <t xml:space="preserve"> 7. </t>
    </r>
    <r>
      <rPr>
        <sz val="11"/>
        <color theme="1"/>
        <rFont val="微軟正黑體"/>
        <family val="2"/>
        <charset val="136"/>
      </rPr>
      <t xml:space="preserve">設備租借期間應妥善保管，如有損壞或遺失需照價賠償。
</t>
    </r>
    <r>
      <rPr>
        <sz val="11"/>
        <color theme="1"/>
        <rFont val="Arial"/>
        <family val="2"/>
      </rPr>
      <t xml:space="preserve"> 8. </t>
    </r>
    <r>
      <rPr>
        <sz val="11"/>
        <color theme="1"/>
        <rFont val="微軟正黑體"/>
        <family val="2"/>
        <charset val="136"/>
      </rPr>
      <t xml:space="preserve">客戶需準時提供資料，如延誤導致執行影響，本公司不負相關責任。
</t>
    </r>
    <r>
      <rPr>
        <sz val="11"/>
        <color theme="1"/>
        <rFont val="Arial"/>
        <family val="2"/>
      </rPr>
      <t xml:space="preserve"> 9. </t>
    </r>
    <r>
      <rPr>
        <sz val="11"/>
        <color theme="1"/>
        <rFont val="微軟正黑體"/>
        <family val="2"/>
        <charset val="136"/>
      </rPr>
      <t>天災等不可抗力因素，雙方另行協議處理。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</si>
</sst>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15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3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12"/>
      <color rgb="FFFF0000"/>
      <name val="Arial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BF9000"/>
      <name val="Arial"/>
      <family val="2"/>
    </font>
    <font>
      <b/>
      <sz val="14"/>
      <color theme="1"/>
      <name val="Arial"/>
      <family val="2"/>
    </font>
    <font>
      <sz val="9"/>
      <name val="Arial"/>
      <family val="3"/>
      <charset val="136"/>
      <scheme val="minor"/>
    </font>
    <font>
      <b/>
      <sz val="12"/>
      <color theme="1"/>
      <name val="Microsoft JhengHei"/>
      <family val="2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25" xfId="0" applyFont="1" applyBorder="1" applyAlignment="1">
      <alignment horizontal="center" vertical="center"/>
    </xf>
    <xf numFmtId="0" fontId="4" fillId="0" borderId="26" xfId="0" applyFont="1" applyBorder="1"/>
    <xf numFmtId="0" fontId="5" fillId="0" borderId="13" xfId="0" applyFont="1" applyBorder="1" applyAlignment="1">
      <alignment vertical="center"/>
    </xf>
    <xf numFmtId="0" fontId="4" fillId="0" borderId="16" xfId="0" applyFont="1" applyBorder="1"/>
    <xf numFmtId="0" fontId="4" fillId="0" borderId="12" xfId="0" applyFont="1" applyBorder="1"/>
    <xf numFmtId="0" fontId="4" fillId="0" borderId="8" xfId="0" applyFont="1" applyBorder="1"/>
    <xf numFmtId="0" fontId="4" fillId="0" borderId="27" xfId="0" applyFont="1" applyBorder="1"/>
    <xf numFmtId="0" fontId="4" fillId="0" borderId="7" xfId="0" applyFont="1" applyBorder="1"/>
    <xf numFmtId="0" fontId="6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76" fontId="6" fillId="0" borderId="15" xfId="0" applyNumberFormat="1" applyFont="1" applyBorder="1" applyAlignment="1">
      <alignment vertical="center"/>
    </xf>
    <xf numFmtId="0" fontId="4" fillId="0" borderId="10" xfId="0" applyFont="1" applyBorder="1"/>
    <xf numFmtId="0" fontId="4" fillId="0" borderId="14" xfId="0" applyFont="1" applyBorder="1"/>
    <xf numFmtId="0" fontId="4" fillId="0" borderId="9" xfId="0" applyFont="1" applyBorder="1"/>
    <xf numFmtId="0" fontId="1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2" borderId="22" xfId="0" applyFont="1" applyFill="1" applyBorder="1" applyAlignment="1">
      <alignment horizontal="center"/>
    </xf>
    <xf numFmtId="0" fontId="4" fillId="0" borderId="23" xfId="0" applyFont="1" applyBorder="1"/>
    <xf numFmtId="0" fontId="4" fillId="0" borderId="24" xfId="0" applyFont="1" applyBorder="1"/>
    <xf numFmtId="0" fontId="2" fillId="0" borderId="45" xfId="0" applyFont="1" applyBorder="1"/>
    <xf numFmtId="0" fontId="4" fillId="0" borderId="45" xfId="0" applyFont="1" applyBorder="1"/>
    <xf numFmtId="0" fontId="4" fillId="0" borderId="46" xfId="0" applyFont="1" applyBorder="1"/>
    <xf numFmtId="0" fontId="11" fillId="2" borderId="41" xfId="0" applyFont="1" applyFill="1" applyBorder="1" applyAlignment="1">
      <alignment vertical="center"/>
    </xf>
    <xf numFmtId="0" fontId="0" fillId="0" borderId="42" xfId="0" applyBorder="1"/>
    <xf numFmtId="0" fontId="4" fillId="0" borderId="43" xfId="0" applyFont="1" applyBorder="1"/>
    <xf numFmtId="176" fontId="8" fillId="0" borderId="13" xfId="0" applyNumberFormat="1" applyFont="1" applyBorder="1" applyAlignment="1">
      <alignment horizontal="center" vertical="center"/>
    </xf>
    <xf numFmtId="0" fontId="4" fillId="0" borderId="31" xfId="0" applyFont="1" applyBorder="1"/>
    <xf numFmtId="0" fontId="4" fillId="0" borderId="19" xfId="0" applyFont="1" applyBorder="1"/>
    <xf numFmtId="0" fontId="4" fillId="0" borderId="20" xfId="0" applyFont="1" applyBorder="1"/>
    <xf numFmtId="0" fontId="1" fillId="0" borderId="32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9" fillId="0" borderId="35" xfId="0" applyFont="1" applyBorder="1" applyAlignment="1">
      <alignment wrapText="1"/>
    </xf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4" fillId="0" borderId="17" xfId="0" applyFont="1" applyBorder="1"/>
    <xf numFmtId="0" fontId="4" fillId="0" borderId="18" xfId="0" applyFont="1" applyBorder="1"/>
    <xf numFmtId="0" fontId="7" fillId="0" borderId="13" xfId="0" applyFont="1" applyBorder="1" applyAlignment="1">
      <alignment horizontal="center" vertical="center"/>
    </xf>
    <xf numFmtId="0" fontId="4" fillId="0" borderId="30" xfId="0" applyFont="1" applyBorder="1"/>
    <xf numFmtId="0" fontId="4" fillId="0" borderId="21" xfId="0" applyFont="1" applyBorder="1"/>
    <xf numFmtId="0" fontId="1" fillId="0" borderId="1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/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2" xfId="0" applyFont="1" applyBorder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/>
    <xf numFmtId="49" fontId="4" fillId="0" borderId="8" xfId="0" applyNumberFormat="1" applyFont="1" applyBorder="1"/>
    <xf numFmtId="49" fontId="4" fillId="0" borderId="9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1</xdr:row>
      <xdr:rowOff>121920</xdr:rowOff>
    </xdr:from>
    <xdr:ext cx="1828800" cy="1104900"/>
    <xdr:pic>
      <xdr:nvPicPr>
        <xdr:cNvPr id="2" name="image2.png" title="圖片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4254" t="19691" r="15927" b="20515"/>
        <a:stretch>
          <a:fillRect/>
        </a:stretch>
      </xdr:blipFill>
      <xdr:spPr>
        <a:xfrm>
          <a:off x="83821" y="373380"/>
          <a:ext cx="1828800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299085</xdr:colOff>
      <xdr:row>57</xdr:row>
      <xdr:rowOff>53340</xdr:rowOff>
    </xdr:from>
    <xdr:ext cx="1285875" cy="1123950"/>
    <xdr:pic>
      <xdr:nvPicPr>
        <xdr:cNvPr id="3" name="image1.jpg" title="圖片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58265" y="10119360"/>
          <a:ext cx="1285875" cy="1123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0"/>
  <sheetViews>
    <sheetView tabSelected="1" topLeftCell="A13" zoomScale="60" zoomScaleNormal="60" workbookViewId="0">
      <selection activeCell="M55" sqref="M55"/>
    </sheetView>
  </sheetViews>
  <sheetFormatPr defaultColWidth="12.6640625" defaultRowHeight="15.75" customHeight="1"/>
  <cols>
    <col min="1" max="1" width="9.21875" customWidth="1"/>
    <col min="2" max="2" width="6.21875" customWidth="1"/>
    <col min="3" max="3" width="13.88671875" customWidth="1"/>
    <col min="4" max="4" width="13.77734375" customWidth="1"/>
    <col min="7" max="7" width="12.21875" customWidth="1"/>
  </cols>
  <sheetData>
    <row r="1" spans="1:25" ht="20.25" customHeight="1">
      <c r="I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2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>
      <c r="A3" s="70"/>
      <c r="B3" s="70"/>
      <c r="C3" s="70"/>
      <c r="D3" s="70"/>
      <c r="E3" s="70"/>
      <c r="F3" s="70"/>
      <c r="G3" s="70"/>
      <c r="H3" s="70"/>
      <c r="I3" s="70"/>
      <c r="J3" s="7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>
      <c r="A4" s="70"/>
      <c r="B4" s="70"/>
      <c r="C4" s="70"/>
      <c r="D4" s="70"/>
      <c r="E4" s="70"/>
      <c r="F4" s="70"/>
      <c r="G4" s="70"/>
      <c r="H4" s="70"/>
      <c r="I4" s="70"/>
      <c r="J4" s="7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>
      <c r="A5" s="70"/>
      <c r="B5" s="70"/>
      <c r="C5" s="70"/>
      <c r="D5" s="70"/>
      <c r="E5" s="70"/>
      <c r="F5" s="70"/>
      <c r="G5" s="70"/>
      <c r="H5" s="70"/>
      <c r="I5" s="70"/>
      <c r="J5" s="7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2">
      <c r="A6" s="70"/>
      <c r="B6" s="70"/>
      <c r="C6" s="70"/>
      <c r="D6" s="70"/>
      <c r="E6" s="70"/>
      <c r="F6" s="70"/>
      <c r="G6" s="70"/>
      <c r="H6" s="70"/>
      <c r="I6" s="70"/>
      <c r="J6" s="7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2">
      <c r="A7" s="70"/>
      <c r="B7" s="70"/>
      <c r="C7" s="70"/>
      <c r="D7" s="70"/>
      <c r="E7" s="70"/>
      <c r="F7" s="70"/>
      <c r="G7" s="70"/>
      <c r="H7" s="70"/>
      <c r="I7" s="70"/>
      <c r="J7" s="7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2">
      <c r="A8" s="70"/>
      <c r="B8" s="70"/>
      <c r="C8" s="70"/>
      <c r="D8" s="70"/>
      <c r="E8" s="70"/>
      <c r="F8" s="70"/>
      <c r="G8" s="70"/>
      <c r="H8" s="70"/>
      <c r="I8" s="70"/>
      <c r="J8" s="7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2">
      <c r="A9" s="70"/>
      <c r="B9" s="70"/>
      <c r="C9" s="70"/>
      <c r="D9" s="70"/>
      <c r="E9" s="70"/>
      <c r="F9" s="70"/>
      <c r="G9" s="70"/>
      <c r="H9" s="70"/>
      <c r="I9" s="70"/>
      <c r="J9" s="7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2">
      <c r="A10" s="77" t="s">
        <v>2</v>
      </c>
      <c r="B10" s="78"/>
      <c r="C10" s="71" t="s">
        <v>3</v>
      </c>
      <c r="D10" s="72"/>
      <c r="E10" s="73" t="s">
        <v>4</v>
      </c>
      <c r="F10" s="74"/>
      <c r="G10" s="75"/>
      <c r="H10" s="76" t="s">
        <v>5</v>
      </c>
      <c r="I10" s="74"/>
      <c r="J10" s="7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>
      <c r="A11" s="57"/>
      <c r="B11" s="58"/>
      <c r="C11" s="8"/>
      <c r="D11" s="16"/>
      <c r="E11" s="65"/>
      <c r="F11" s="8"/>
      <c r="G11" s="10"/>
      <c r="H11" s="54"/>
      <c r="I11" s="8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>
      <c r="A12" s="79" t="s">
        <v>34</v>
      </c>
      <c r="B12" s="56"/>
      <c r="C12" s="80" t="s">
        <v>35</v>
      </c>
      <c r="D12" s="81"/>
      <c r="E12" s="64" t="s">
        <v>6</v>
      </c>
      <c r="F12" s="55"/>
      <c r="G12" s="7"/>
      <c r="H12" s="53" t="s">
        <v>7</v>
      </c>
      <c r="I12" s="55"/>
      <c r="J12" s="1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>
      <c r="A13" s="57"/>
      <c r="B13" s="58"/>
      <c r="C13" s="82"/>
      <c r="D13" s="83"/>
      <c r="E13" s="65"/>
      <c r="F13" s="8"/>
      <c r="G13" s="10"/>
      <c r="H13" s="54"/>
      <c r="I13" s="8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>
      <c r="A14" s="45" t="s">
        <v>8</v>
      </c>
      <c r="B14" s="56"/>
      <c r="C14" s="61" t="s">
        <v>9</v>
      </c>
      <c r="D14" s="15"/>
      <c r="E14" s="64" t="s">
        <v>10</v>
      </c>
      <c r="F14" s="55"/>
      <c r="G14" s="7"/>
      <c r="H14" s="53" t="s">
        <v>11</v>
      </c>
      <c r="I14" s="55"/>
      <c r="J14" s="1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>
      <c r="A15" s="57"/>
      <c r="B15" s="58"/>
      <c r="C15" s="8"/>
      <c r="D15" s="16"/>
      <c r="E15" s="65"/>
      <c r="F15" s="8"/>
      <c r="G15" s="10"/>
      <c r="H15" s="54"/>
      <c r="I15" s="8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>
      <c r="A16" s="45" t="s">
        <v>12</v>
      </c>
      <c r="B16" s="56"/>
      <c r="C16" s="61" t="s">
        <v>13</v>
      </c>
      <c r="D16" s="15"/>
      <c r="E16" s="64" t="s">
        <v>14</v>
      </c>
      <c r="F16" s="61"/>
      <c r="G16" s="7"/>
      <c r="H16" s="53" t="s">
        <v>15</v>
      </c>
      <c r="I16" s="55"/>
      <c r="J16" s="1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>
      <c r="A17" s="57"/>
      <c r="B17" s="58"/>
      <c r="C17" s="8"/>
      <c r="D17" s="16"/>
      <c r="E17" s="65"/>
      <c r="F17" s="8"/>
      <c r="G17" s="10"/>
      <c r="H17" s="54"/>
      <c r="I17" s="8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>
      <c r="A18" s="45" t="s">
        <v>16</v>
      </c>
      <c r="B18" s="56"/>
      <c r="C18" s="61" t="s">
        <v>17</v>
      </c>
      <c r="D18" s="15"/>
      <c r="E18" s="64" t="s">
        <v>18</v>
      </c>
      <c r="F18" s="55"/>
      <c r="G18" s="6"/>
      <c r="H18" s="6"/>
      <c r="I18" s="6"/>
      <c r="J18" s="1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>
      <c r="A19" s="66"/>
      <c r="B19" s="67"/>
      <c r="C19" s="32"/>
      <c r="D19" s="33"/>
      <c r="E19" s="68"/>
      <c r="F19" s="32"/>
      <c r="G19" s="52"/>
      <c r="H19" s="52"/>
      <c r="I19" s="52"/>
      <c r="J19" s="3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7.5" customHeight="1">
      <c r="A20" s="1"/>
      <c r="B20" s="19"/>
      <c r="C20" s="20"/>
      <c r="D20" s="20"/>
      <c r="E20" s="20"/>
      <c r="F20" s="20"/>
      <c r="G20" s="20"/>
      <c r="H20" s="20"/>
      <c r="I20" s="20"/>
      <c r="J20" s="2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4.75" customHeight="1">
      <c r="A21" s="62" t="s">
        <v>19</v>
      </c>
      <c r="B21" s="22"/>
      <c r="C21" s="22"/>
      <c r="D21" s="22"/>
      <c r="E21" s="22"/>
      <c r="F21" s="22"/>
      <c r="G21" s="22"/>
      <c r="H21" s="22"/>
      <c r="I21" s="22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>
      <c r="A22" s="63" t="s">
        <v>20</v>
      </c>
      <c r="B22" s="60" t="s">
        <v>21</v>
      </c>
      <c r="C22" s="6"/>
      <c r="D22" s="7"/>
      <c r="E22" s="59" t="s">
        <v>22</v>
      </c>
      <c r="F22" s="59" t="s">
        <v>23</v>
      </c>
      <c r="G22" s="59" t="s">
        <v>24</v>
      </c>
      <c r="H22" s="60" t="s">
        <v>25</v>
      </c>
      <c r="I22" s="6"/>
      <c r="J22" s="1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>
      <c r="A23" s="4"/>
      <c r="B23" s="8"/>
      <c r="C23" s="9"/>
      <c r="D23" s="10"/>
      <c r="E23" s="14"/>
      <c r="F23" s="14"/>
      <c r="G23" s="14"/>
      <c r="H23" s="8"/>
      <c r="I23" s="9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>
      <c r="A24" s="3">
        <v>1</v>
      </c>
      <c r="B24" s="5"/>
      <c r="C24" s="6"/>
      <c r="D24" s="7"/>
      <c r="E24" s="18"/>
      <c r="F24" s="11"/>
      <c r="G24" s="13">
        <f>E24*F24</f>
        <v>0</v>
      </c>
      <c r="H24" s="5"/>
      <c r="I24" s="6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>
      <c r="A25" s="4"/>
      <c r="B25" s="8"/>
      <c r="C25" s="9"/>
      <c r="D25" s="10"/>
      <c r="E25" s="12"/>
      <c r="F25" s="12"/>
      <c r="G25" s="14"/>
      <c r="H25" s="8"/>
      <c r="I25" s="9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>
      <c r="A26" s="3">
        <v>2</v>
      </c>
      <c r="B26" s="5"/>
      <c r="C26" s="6"/>
      <c r="D26" s="7"/>
      <c r="E26" s="11"/>
      <c r="F26" s="11"/>
      <c r="G26" s="13">
        <f>E26*F26</f>
        <v>0</v>
      </c>
      <c r="H26" s="5"/>
      <c r="I26" s="6"/>
      <c r="J26" s="1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>
      <c r="A27" s="4"/>
      <c r="B27" s="8"/>
      <c r="C27" s="9"/>
      <c r="D27" s="10"/>
      <c r="E27" s="12"/>
      <c r="F27" s="12"/>
      <c r="G27" s="14"/>
      <c r="H27" s="8"/>
      <c r="I27" s="9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>
      <c r="A28" s="3">
        <v>3</v>
      </c>
      <c r="B28" s="5"/>
      <c r="C28" s="6"/>
      <c r="D28" s="7"/>
      <c r="E28" s="11"/>
      <c r="F28" s="11"/>
      <c r="G28" s="13">
        <f>E28*F28</f>
        <v>0</v>
      </c>
      <c r="H28" s="5"/>
      <c r="I28" s="6"/>
      <c r="J28" s="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>
      <c r="A29" s="4"/>
      <c r="B29" s="8"/>
      <c r="C29" s="9"/>
      <c r="D29" s="10"/>
      <c r="E29" s="12"/>
      <c r="F29" s="12"/>
      <c r="G29" s="14"/>
      <c r="H29" s="8"/>
      <c r="I29" s="9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>
      <c r="A30" s="3">
        <v>4</v>
      </c>
      <c r="B30" s="5"/>
      <c r="C30" s="6"/>
      <c r="D30" s="7"/>
      <c r="E30" s="11"/>
      <c r="F30" s="11"/>
      <c r="G30" s="13">
        <f>E30*F30</f>
        <v>0</v>
      </c>
      <c r="H30" s="5"/>
      <c r="I30" s="6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>
      <c r="A31" s="4"/>
      <c r="B31" s="8"/>
      <c r="C31" s="9"/>
      <c r="D31" s="10"/>
      <c r="E31" s="12"/>
      <c r="F31" s="12"/>
      <c r="G31" s="14"/>
      <c r="H31" s="8"/>
      <c r="I31" s="9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>
      <c r="A32" s="3">
        <v>5</v>
      </c>
      <c r="B32" s="5"/>
      <c r="C32" s="6"/>
      <c r="D32" s="7"/>
      <c r="E32" s="11"/>
      <c r="F32" s="11"/>
      <c r="G32" s="13">
        <f>E32*F32</f>
        <v>0</v>
      </c>
      <c r="H32" s="5"/>
      <c r="I32" s="6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>
      <c r="A33" s="4"/>
      <c r="B33" s="8"/>
      <c r="C33" s="9"/>
      <c r="D33" s="10"/>
      <c r="E33" s="12"/>
      <c r="F33" s="12"/>
      <c r="G33" s="14"/>
      <c r="H33" s="8"/>
      <c r="I33" s="9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>
      <c r="A34" s="3">
        <v>6</v>
      </c>
      <c r="B34" s="5"/>
      <c r="C34" s="6"/>
      <c r="D34" s="7"/>
      <c r="E34" s="11"/>
      <c r="F34" s="11"/>
      <c r="G34" s="13">
        <f>E34*F34</f>
        <v>0</v>
      </c>
      <c r="H34" s="5"/>
      <c r="I34" s="6"/>
      <c r="J34" s="1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>
      <c r="A35" s="4"/>
      <c r="B35" s="8"/>
      <c r="C35" s="9"/>
      <c r="D35" s="10"/>
      <c r="E35" s="12"/>
      <c r="F35" s="12"/>
      <c r="G35" s="14"/>
      <c r="H35" s="8"/>
      <c r="I35" s="9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>
      <c r="A36" s="3">
        <v>7</v>
      </c>
      <c r="B36" s="5"/>
      <c r="C36" s="6"/>
      <c r="D36" s="7"/>
      <c r="E36" s="11"/>
      <c r="F36" s="11"/>
      <c r="G36" s="13">
        <f>E36*F36</f>
        <v>0</v>
      </c>
      <c r="H36" s="5"/>
      <c r="I36" s="6"/>
      <c r="J36" s="1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>
      <c r="A37" s="4"/>
      <c r="B37" s="8"/>
      <c r="C37" s="9"/>
      <c r="D37" s="10"/>
      <c r="E37" s="12"/>
      <c r="F37" s="12"/>
      <c r="G37" s="14"/>
      <c r="H37" s="8"/>
      <c r="I37" s="9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>
      <c r="A38" s="3">
        <v>8</v>
      </c>
      <c r="B38" s="5"/>
      <c r="C38" s="6"/>
      <c r="D38" s="7"/>
      <c r="E38" s="11"/>
      <c r="F38" s="11"/>
      <c r="G38" s="13">
        <f>E38*F38</f>
        <v>0</v>
      </c>
      <c r="H38" s="5"/>
      <c r="I38" s="6"/>
      <c r="J38" s="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>
      <c r="A39" s="4"/>
      <c r="B39" s="8"/>
      <c r="C39" s="9"/>
      <c r="D39" s="10"/>
      <c r="E39" s="12"/>
      <c r="F39" s="12"/>
      <c r="G39" s="14"/>
      <c r="H39" s="8"/>
      <c r="I39" s="9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6" customHeight="1">
      <c r="A40" s="1"/>
      <c r="B40" s="19"/>
      <c r="C40" s="20"/>
      <c r="D40" s="20"/>
      <c r="E40" s="20"/>
      <c r="F40" s="20"/>
      <c r="G40" s="20"/>
      <c r="H40" s="20"/>
      <c r="I40" s="20"/>
      <c r="J40" s="2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2.5" customHeight="1">
      <c r="A41" s="21" t="s">
        <v>26</v>
      </c>
      <c r="B41" s="22"/>
      <c r="C41" s="22"/>
      <c r="D41" s="22"/>
      <c r="E41" s="22"/>
      <c r="F41" s="22"/>
      <c r="G41" s="22"/>
      <c r="H41" s="22"/>
      <c r="I41" s="22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>
      <c r="A42" s="45" t="s">
        <v>25</v>
      </c>
      <c r="B42" s="7"/>
      <c r="C42" s="50" t="str">
        <f>"確認款項後，請匯款訂金(50%) $"&amp;ROUND(I46/2,0)&amp;" ，並簽名回傳報價單"</f>
        <v>確認款項後，請匯款訂金(50%) $0 ，並簽名回傳報價單</v>
      </c>
      <c r="D42" s="6"/>
      <c r="E42" s="6"/>
      <c r="F42" s="6"/>
      <c r="G42" s="7"/>
      <c r="H42" s="17" t="s">
        <v>27</v>
      </c>
      <c r="I42" s="30">
        <f>SUM(G24:G39)</f>
        <v>0</v>
      </c>
      <c r="J42" s="1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>
      <c r="A43" s="46"/>
      <c r="B43" s="47"/>
      <c r="C43" s="51"/>
      <c r="D43" s="20"/>
      <c r="E43" s="20"/>
      <c r="F43" s="20"/>
      <c r="G43" s="47"/>
      <c r="H43" s="14"/>
      <c r="I43" s="8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>
      <c r="A44" s="46"/>
      <c r="B44" s="47"/>
      <c r="C44" s="51"/>
      <c r="D44" s="20"/>
      <c r="E44" s="20"/>
      <c r="F44" s="20"/>
      <c r="G44" s="47"/>
      <c r="H44" s="17" t="s">
        <v>28</v>
      </c>
      <c r="I44" s="30">
        <f>ROUND(I42*0.05,0)</f>
        <v>0</v>
      </c>
      <c r="J44" s="1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>
      <c r="A45" s="46"/>
      <c r="B45" s="47"/>
      <c r="C45" s="51"/>
      <c r="D45" s="20"/>
      <c r="E45" s="20"/>
      <c r="F45" s="20"/>
      <c r="G45" s="47"/>
      <c r="H45" s="14"/>
      <c r="I45" s="8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>
      <c r="A46" s="46"/>
      <c r="B46" s="47"/>
      <c r="C46" s="51"/>
      <c r="D46" s="20"/>
      <c r="E46" s="20"/>
      <c r="F46" s="20"/>
      <c r="G46" s="47"/>
      <c r="H46" s="17" t="s">
        <v>29</v>
      </c>
      <c r="I46" s="30">
        <f>I42+I44</f>
        <v>0</v>
      </c>
      <c r="J46" s="1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>
      <c r="A47" s="48"/>
      <c r="B47" s="49"/>
      <c r="C47" s="32"/>
      <c r="D47" s="52"/>
      <c r="E47" s="52"/>
      <c r="F47" s="52"/>
      <c r="G47" s="49"/>
      <c r="H47" s="31"/>
      <c r="I47" s="32"/>
      <c r="J47" s="3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5.25" customHeight="1" thickBot="1">
      <c r="A48" s="1"/>
      <c r="B48" s="19"/>
      <c r="C48" s="20"/>
      <c r="D48" s="20"/>
      <c r="E48" s="20"/>
      <c r="F48" s="20"/>
      <c r="G48" s="20"/>
      <c r="H48" s="20"/>
      <c r="I48" s="20"/>
      <c r="J48" s="2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4" customHeight="1">
      <c r="A49" s="34" t="s">
        <v>30</v>
      </c>
      <c r="B49" s="35"/>
      <c r="C49" s="35"/>
      <c r="D49" s="35"/>
      <c r="E49" s="35"/>
      <c r="F49" s="35"/>
      <c r="G49" s="35"/>
      <c r="H49" s="35"/>
      <c r="I49" s="35"/>
      <c r="J49" s="3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95" customHeight="1">
      <c r="A50" s="37" t="s">
        <v>36</v>
      </c>
      <c r="B50" s="6"/>
      <c r="C50" s="6"/>
      <c r="D50" s="6"/>
      <c r="E50" s="6"/>
      <c r="F50" s="6"/>
      <c r="G50" s="6"/>
      <c r="H50" s="6"/>
      <c r="I50" s="6"/>
      <c r="J50" s="3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95" customHeight="1">
      <c r="A51" s="39"/>
      <c r="B51" s="20"/>
      <c r="C51" s="20"/>
      <c r="D51" s="20"/>
      <c r="E51" s="20"/>
      <c r="F51" s="20"/>
      <c r="G51" s="20"/>
      <c r="H51" s="20"/>
      <c r="I51" s="20"/>
      <c r="J51" s="4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95" customHeight="1">
      <c r="A52" s="39"/>
      <c r="B52" s="20"/>
      <c r="C52" s="20"/>
      <c r="D52" s="20"/>
      <c r="E52" s="20"/>
      <c r="F52" s="20"/>
      <c r="G52" s="20"/>
      <c r="H52" s="20"/>
      <c r="I52" s="20"/>
      <c r="J52" s="4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95" customHeight="1">
      <c r="A53" s="39"/>
      <c r="B53" s="20"/>
      <c r="C53" s="20"/>
      <c r="D53" s="20"/>
      <c r="E53" s="20"/>
      <c r="F53" s="20"/>
      <c r="G53" s="20"/>
      <c r="H53" s="20"/>
      <c r="I53" s="20"/>
      <c r="J53" s="4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95" customHeight="1">
      <c r="A54" s="39"/>
      <c r="B54" s="20"/>
      <c r="C54" s="20"/>
      <c r="D54" s="20"/>
      <c r="E54" s="20"/>
      <c r="F54" s="20"/>
      <c r="G54" s="20"/>
      <c r="H54" s="20"/>
      <c r="I54" s="20"/>
      <c r="J54" s="4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95" customHeight="1">
      <c r="A55" s="39"/>
      <c r="B55" s="20"/>
      <c r="C55" s="20"/>
      <c r="D55" s="20"/>
      <c r="E55" s="20"/>
      <c r="F55" s="20"/>
      <c r="G55" s="20"/>
      <c r="H55" s="20"/>
      <c r="I55" s="20"/>
      <c r="J55" s="4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95" customHeight="1">
      <c r="A56" s="39"/>
      <c r="B56" s="20"/>
      <c r="C56" s="20"/>
      <c r="D56" s="20"/>
      <c r="E56" s="20"/>
      <c r="F56" s="20"/>
      <c r="G56" s="20"/>
      <c r="H56" s="20"/>
      <c r="I56" s="20"/>
      <c r="J56" s="4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95" customHeight="1">
      <c r="A57" s="41"/>
      <c r="B57" s="9"/>
      <c r="C57" s="9"/>
      <c r="D57" s="9"/>
      <c r="E57" s="9"/>
      <c r="F57" s="9"/>
      <c r="G57" s="9"/>
      <c r="H57" s="9"/>
      <c r="I57" s="9"/>
      <c r="J57" s="4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00.05" customHeight="1" thickBot="1">
      <c r="A58" s="43" t="s">
        <v>31</v>
      </c>
      <c r="B58" s="44"/>
      <c r="C58" s="24"/>
      <c r="D58" s="25"/>
      <c r="E58" s="44" t="s">
        <v>32</v>
      </c>
      <c r="F58" s="44"/>
      <c r="G58" s="24"/>
      <c r="H58" s="25"/>
      <c r="I58" s="25"/>
      <c r="J58" s="2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thickBot="1">
      <c r="A59" s="27" t="s">
        <v>33</v>
      </c>
      <c r="B59" s="28"/>
      <c r="C59" s="28"/>
      <c r="D59" s="28"/>
      <c r="E59" s="28"/>
      <c r="F59" s="28"/>
      <c r="G59" s="28"/>
      <c r="H59" s="28"/>
      <c r="I59" s="28"/>
      <c r="J59" s="2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03">
    <mergeCell ref="A2:J9"/>
    <mergeCell ref="C10:D11"/>
    <mergeCell ref="E10:E11"/>
    <mergeCell ref="F10:G11"/>
    <mergeCell ref="H10:H11"/>
    <mergeCell ref="I10:J11"/>
    <mergeCell ref="A10:B11"/>
    <mergeCell ref="A12:B13"/>
    <mergeCell ref="C12:D13"/>
    <mergeCell ref="E12:E13"/>
    <mergeCell ref="F12:G13"/>
    <mergeCell ref="H12:H13"/>
    <mergeCell ref="I12:J13"/>
    <mergeCell ref="H14:H15"/>
    <mergeCell ref="I14:J15"/>
    <mergeCell ref="A16:B17"/>
    <mergeCell ref="I16:J17"/>
    <mergeCell ref="E22:E23"/>
    <mergeCell ref="F22:F23"/>
    <mergeCell ref="G22:G23"/>
    <mergeCell ref="H22:J23"/>
    <mergeCell ref="F16:G17"/>
    <mergeCell ref="H16:H17"/>
    <mergeCell ref="F18:J19"/>
    <mergeCell ref="B20:J20"/>
    <mergeCell ref="A21:J21"/>
    <mergeCell ref="A22:A23"/>
    <mergeCell ref="B22:D23"/>
    <mergeCell ref="C16:D17"/>
    <mergeCell ref="E16:E17"/>
    <mergeCell ref="A18:B19"/>
    <mergeCell ref="C18:D19"/>
    <mergeCell ref="E18:E19"/>
    <mergeCell ref="A14:B15"/>
    <mergeCell ref="C14:D15"/>
    <mergeCell ref="E14:E15"/>
    <mergeCell ref="F14:G15"/>
    <mergeCell ref="C58:D58"/>
    <mergeCell ref="G58:J58"/>
    <mergeCell ref="A59:J59"/>
    <mergeCell ref="I42:J43"/>
    <mergeCell ref="I44:J45"/>
    <mergeCell ref="H46:H47"/>
    <mergeCell ref="I46:J47"/>
    <mergeCell ref="B48:J48"/>
    <mergeCell ref="A49:J49"/>
    <mergeCell ref="A50:J57"/>
    <mergeCell ref="H44:H45"/>
    <mergeCell ref="A58:B58"/>
    <mergeCell ref="E58:F58"/>
    <mergeCell ref="A42:B47"/>
    <mergeCell ref="C42:G47"/>
    <mergeCell ref="F26:F27"/>
    <mergeCell ref="G26:G27"/>
    <mergeCell ref="F28:F29"/>
    <mergeCell ref="G28:G29"/>
    <mergeCell ref="H28:J29"/>
    <mergeCell ref="A24:A25"/>
    <mergeCell ref="B24:D25"/>
    <mergeCell ref="E24:E25"/>
    <mergeCell ref="F24:F25"/>
    <mergeCell ref="G24:G25"/>
    <mergeCell ref="H24:J25"/>
    <mergeCell ref="A26:A27"/>
    <mergeCell ref="H26:J27"/>
    <mergeCell ref="B26:D27"/>
    <mergeCell ref="E26:E27"/>
    <mergeCell ref="A28:A29"/>
    <mergeCell ref="B28:D29"/>
    <mergeCell ref="E28:E29"/>
    <mergeCell ref="E30:E31"/>
    <mergeCell ref="F30:F31"/>
    <mergeCell ref="G30:G31"/>
    <mergeCell ref="H30:J31"/>
    <mergeCell ref="A32:A33"/>
    <mergeCell ref="B32:D33"/>
    <mergeCell ref="E32:E33"/>
    <mergeCell ref="F32:F33"/>
    <mergeCell ref="G32:G33"/>
    <mergeCell ref="H32:J33"/>
    <mergeCell ref="A30:A31"/>
    <mergeCell ref="B30:D31"/>
    <mergeCell ref="A34:A35"/>
    <mergeCell ref="B34:D35"/>
    <mergeCell ref="E34:E35"/>
    <mergeCell ref="F34:F35"/>
    <mergeCell ref="G34:G35"/>
    <mergeCell ref="H34:J35"/>
    <mergeCell ref="A36:A37"/>
    <mergeCell ref="H36:J37"/>
    <mergeCell ref="H42:H43"/>
    <mergeCell ref="H38:J39"/>
    <mergeCell ref="B40:J40"/>
    <mergeCell ref="A41:J41"/>
    <mergeCell ref="B36:D37"/>
    <mergeCell ref="E36:E37"/>
    <mergeCell ref="A38:A39"/>
    <mergeCell ref="B38:D39"/>
    <mergeCell ref="E38:E39"/>
    <mergeCell ref="F36:F37"/>
    <mergeCell ref="G36:G37"/>
    <mergeCell ref="F38:F39"/>
    <mergeCell ref="G38:G39"/>
  </mergeCells>
  <phoneticPr fontId="12" type="noConversion"/>
  <printOptions horizontalCentered="1"/>
  <pageMargins left="0.7" right="0.7" top="0.75" bottom="0.75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chiang Judith</cp:lastModifiedBy>
  <dcterms:modified xsi:type="dcterms:W3CDTF">2026-08-14T08:03:08Z</dcterms:modified>
</cp:coreProperties>
</file>